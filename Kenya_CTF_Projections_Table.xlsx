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4a_I_WithMeasures" sheetId="2" state="visible" r:id="rId4"/>
    <sheet name="4a_II_WithAddlMeasures" sheetId="3" state="visible" r:id="rId5"/>
    <sheet name="4a_III_WithoutMeasures" sheetId="4" state="visible" r:id="rId6"/>
    <sheet name="4b_KeyAssum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<sst xmlns="http://schemas.openxmlformats.org/spreadsheetml/2006/main" count="109" uniqueCount="53">
  <si>
    <t xml:space="preserve">CTF-Aligned GHG Projections Table Template — Kenya Energy Sector</t>
  </si>
  <si>
    <t xml:space="preserve">What this is</t>
  </si>
  <si>
    <t xml:space="preserve">A worked example of the projections tables required under the Enhanced Transparency Framework's Modalities, Procedures and Guidelines (MPGs, Decision 18/CMA.1, paragraphs 93-101), adapted to the structure of the official Common Tabular Format (CTF) Table 4(a) series used in Biennial Transparency Reports (BTRs). It is built as a portfolio demonstration for the ICAT 'Developing an MRV Framework for the Energy Sector' proposal (Kenya) and is populated with the outputs of the companion workbook 'Kenya_Energy_GHG_Scenario_Model.xlsx'.</t>
  </si>
  <si>
    <t xml:space="preserve">Important — this is illustrative, not the official electronic tool</t>
  </si>
  <si>
    <t xml:space="preserve">The UNFCCC secretariat issues its own fixed CTF reporting software/schema for BTR submission. This workbook mirrors that structure and terminology (WM / WAM / WOM scenario tables, sectoral disaggregation, kt CO2 eq units, base-year column, key-assumptions table) so a reviewer can see how modelled outputs would map onto the actual reporting format — it is not a substitute for the official tool, and the figures are demonstration values only (see Methodology &amp; Data Notes in the companion workbook).</t>
  </si>
  <si>
    <t xml:space="preserve">Contents</t>
  </si>
  <si>
    <t xml:space="preserve">- Table 4(a)I: With Measures (WM) scenario</t>
  </si>
  <si>
    <t xml:space="preserve">- Table 4(a)II: With Additional Measures (WAM) scenario</t>
  </si>
  <si>
    <t xml:space="preserve">- Table 4(a)III: Without Measures (WOM) / baseline scenario</t>
  </si>
  <si>
    <t xml:space="preserve">- Table 4(b): Key underlying parameters and assumptions used for the projections (MPG para. 99)</t>
  </si>
  <si>
    <t xml:space="preserve">- Notes: methodology and gas-coverage notes (MPG para. 96)</t>
  </si>
  <si>
    <t xml:space="preserve">Scope note</t>
  </si>
  <si>
    <t xml:space="preserve">Only the energy-sector categories in scope of this ICAT project are populated (1.A.1 Energy industries / Power Industries; 1.A.2 Manufacturing industries and construction; 1.A.4 Other sectors — residential, commercial and agriculture; 1.B Fugitive emissions from fuels). 1.A.3 Transport is marked 'NE' (not estimated) as it is outside the scope of this deliverable. A full BTR submission would also cover IPPU, Agriculture, LULUCF and Waste, and would disaggregate emissions by gas (CO2, CH4, N2O, F-gases); this demonstration reports CO2 only, as that is what the underlying energy model computes.</t>
  </si>
  <si>
    <t xml:space="preserve">Table 4(a)I — GHG emission projections under the 'with measures' (WM) scenario, energy sector</t>
  </si>
  <si>
    <t xml:space="preserve">Units: kt CO2 eq (energy-sector CO2 emissions from fuel combustion and fugitive emissions)</t>
  </si>
  <si>
    <t xml:space="preserve">Code</t>
  </si>
  <si>
    <t xml:space="preserve">GHG source and sink category</t>
  </si>
  <si>
    <t xml:space="preserve">2023 (base year)</t>
  </si>
  <si>
    <t xml:space="preserve">1.A</t>
  </si>
  <si>
    <t xml:space="preserve">Fuel combustion</t>
  </si>
  <si>
    <t xml:space="preserve">1.A.1</t>
  </si>
  <si>
    <t xml:space="preserve">  Energy industries (Power Industries)</t>
  </si>
  <si>
    <t xml:space="preserve">1.A.2</t>
  </si>
  <si>
    <t xml:space="preserve">  Manufacturing industries and construction</t>
  </si>
  <si>
    <t xml:space="preserve">1.A.3</t>
  </si>
  <si>
    <t xml:space="preserve">  Transport</t>
  </si>
  <si>
    <t xml:space="preserve">NE</t>
  </si>
  <si>
    <t xml:space="preserve">1.A.4</t>
  </si>
  <si>
    <t xml:space="preserve">  Other sectors (residential, commercial/institutional, agriculture)</t>
  </si>
  <si>
    <t xml:space="preserve">1.B</t>
  </si>
  <si>
    <t xml:space="preserve">Fugitive emissions from fuels</t>
  </si>
  <si>
    <t xml:space="preserve">TOTAL — Energy sector (1.A + 1.B)</t>
  </si>
  <si>
    <t xml:space="preserve">Notes:</t>
  </si>
  <si>
    <t xml:space="preserve">- Gas coverage: CO2 only in this demonstration. A full submission would report CH4 and N2O for combustion and fugitive categories, and convert to CO2 eq using the AR6 (or nationally applied) global warming potentials.</t>
  </si>
  <si>
    <t xml:space="preserve">- 1.A.3 Transport is marked 'NE' (not estimated) — outside the scope of this deliverable.</t>
  </si>
  <si>
    <t xml:space="preserve">- Values for 2025-2040 are model outputs from the companion Kenya Energy Sector GHG Scenario Model (Kenya_Energy_GHG_Scenario_Model.xlsx); see that workbook's Methodology &amp; Data Notes tab for data sources, assumptions and caveats.</t>
  </si>
  <si>
    <t xml:space="preserve">Table 4(a)II — GHG emission projections under the 'with additional measures' (WAM) scenario, energy sector</t>
  </si>
  <si>
    <t xml:space="preserve">Table 4(a)III — GHG emission projections under the 'without measures' (WOM) / baseline scenario, energy sector</t>
  </si>
  <si>
    <t xml:space="preserve">Table 4(b) — Key underlying parameters and assumptions used for the projections</t>
  </si>
  <si>
    <t xml:space="preserve">Reported per MPG paragraph 99. Common to WM/WAM/WOM scenarios unless noted.</t>
  </si>
  <si>
    <t xml:space="preserve">Parameter</t>
  </si>
  <si>
    <t xml:space="preserve">Source</t>
  </si>
  <si>
    <t xml:space="preserve">Population (million)</t>
  </si>
  <si>
    <t xml:space="preserve">World Bank / KNBS; 1.8%/yr growth, all scenarios</t>
  </si>
  <si>
    <t xml:space="preserve">GDP (current US$ bn)</t>
  </si>
  <si>
    <t xml:space="preserve">World Bank medium-term projection; 5.0%/yr growth, all scenarios</t>
  </si>
  <si>
    <t xml:space="preserve">Electricity demand-to-GDP elasticity (WOM/WM) (ratio)</t>
  </si>
  <si>
    <t xml:space="preserve">Illustrative assumption</t>
  </si>
  <si>
    <t xml:space="preserve">Electricity demand-to-GDP elasticity (WAM) (ratio)</t>
  </si>
  <si>
    <t xml:space="preserve">WAM assumes additional demand-side efficiency</t>
  </si>
  <si>
    <t xml:space="preserve">Fossil-fired generation phase-out target (WM/WAM) (share, %)</t>
  </si>
  <si>
    <t xml:space="preserve">Kenya National Energy Compact 2025-2030: 100% clean power by 2030</t>
  </si>
  <si>
    <t xml:space="preserve">Full driver-by-driver assumptions, with sources, are documented in the Assumptions tab of Kenya_Energy_GHG_Scenario_Model.xlsx.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</si>
</sst>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</row>
    <row r="5" customFormat="false" ht="7.5" hidden="false" customHeight="true" outlineLevel="0" collapsed="false">
      <c r="A5" s="3"/>
    </row>
    <row r="6" customFormat="false" ht="15" hidden="false" customHeight="false" outlineLevel="0" collapsed="false">
      <c r="A6" s="2" t="s">
        <v>3</v>
      </c>
    </row>
    <row r="7" customFormat="false" ht="30" hidden="false" customHeight="true" outlineLevel="0" collapsed="false">
      <c r="A7" s="3" t="s">
        <v>4</v>
      </c>
    </row>
    <row r="8" customFormat="false" ht="7.5" hidden="false" customHeight="true" outlineLevel="0" collapsed="false">
      <c r="A8" s="3"/>
    </row>
    <row r="9" customFormat="false" ht="15" hidden="false" customHeight="false" outlineLevel="0" collapsed="false">
      <c r="A9" s="2" t="s">
        <v>5</v>
      </c>
    </row>
    <row r="10" customFormat="false" ht="30" hidden="false" customHeight="true" outlineLevel="0" collapsed="false">
      <c r="A10" s="3" t="s">
        <v>6</v>
      </c>
    </row>
    <row r="11" customFormat="false" ht="30" hidden="false" customHeight="true" outlineLevel="0" collapsed="false">
      <c r="A11" s="3" t="s">
        <v>7</v>
      </c>
    </row>
    <row r="12" customFormat="false" ht="30" hidden="false" customHeight="true" outlineLevel="0" collapsed="false">
      <c r="A12" s="3" t="s">
        <v>8</v>
      </c>
    </row>
    <row r="13" customFormat="false" ht="30" hidden="false" customHeight="true" outlineLevel="0" collapsed="false">
      <c r="A13" s="3" t="s">
        <v>9</v>
      </c>
    </row>
    <row r="14" customFormat="false" ht="30" hidden="false" customHeight="true" outlineLevel="0" collapsed="false">
      <c r="A14" s="3" t="s">
        <v>10</v>
      </c>
    </row>
    <row r="15" customFormat="false" ht="7.5" hidden="false" customHeight="true" outlineLevel="0" collapsed="false">
      <c r="A15" s="3"/>
    </row>
    <row r="16" customFormat="false" ht="15" hidden="false" customHeight="false" outlineLevel="0" collapsed="false">
      <c r="A16" s="2" t="s">
        <v>11</v>
      </c>
    </row>
    <row r="17" customFormat="false" ht="30" hidden="false" customHeight="true" outlineLevel="0" collapsed="false">
      <c r="A17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7" min="3" style="0" width="13"/>
    <col collapsed="false" customWidth="true" hidden="false" outlineLevel="0" max="8" min="8" style="0" width="3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4" t="s">
        <v>13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5" t="s">
        <v>14</v>
      </c>
      <c r="B2" s="5"/>
      <c r="C2" s="5"/>
      <c r="D2" s="5"/>
      <c r="E2" s="5"/>
      <c r="F2" s="5"/>
      <c r="G2" s="5"/>
    </row>
    <row r="4" customFormat="false" ht="26.85" hidden="false" customHeight="false" outlineLevel="0" collapsed="false">
      <c r="A4" s="6" t="s">
        <v>15</v>
      </c>
      <c r="B4" s="6" t="s">
        <v>16</v>
      </c>
      <c r="C4" s="7" t="s">
        <v>17</v>
      </c>
      <c r="D4" s="7" t="n">
        <v>2025</v>
      </c>
      <c r="E4" s="7" t="n">
        <v>2030</v>
      </c>
      <c r="F4" s="7" t="n">
        <v>2035</v>
      </c>
      <c r="G4" s="7" t="n">
        <v>2040</v>
      </c>
    </row>
    <row r="5" customFormat="false" ht="15" hidden="false" customHeight="false" outlineLevel="0" collapsed="false">
      <c r="A5" s="8" t="s">
        <v>18</v>
      </c>
      <c r="B5" s="9" t="s">
        <v>19</v>
      </c>
      <c r="C5" s="10"/>
      <c r="D5" s="11"/>
      <c r="E5" s="11"/>
      <c r="F5" s="11"/>
      <c r="G5" s="11"/>
    </row>
    <row r="6" customFormat="false" ht="15" hidden="false" customHeight="false" outlineLevel="0" collapsed="false">
      <c r="A6" s="8" t="s">
        <v>20</v>
      </c>
      <c r="B6" s="8" t="s">
        <v>21</v>
      </c>
      <c r="C6" s="12" t="n">
        <v>1002.9</v>
      </c>
      <c r="D6" s="13" t="n">
        <v>774.8</v>
      </c>
      <c r="E6" s="13" t="n">
        <v>0</v>
      </c>
      <c r="F6" s="13" t="n">
        <v>0</v>
      </c>
      <c r="G6" s="13" t="n">
        <v>0</v>
      </c>
    </row>
    <row r="7" customFormat="false" ht="15" hidden="false" customHeight="false" outlineLevel="0" collapsed="false">
      <c r="A7" s="8" t="s">
        <v>22</v>
      </c>
      <c r="B7" s="8" t="s">
        <v>23</v>
      </c>
      <c r="C7" s="12" t="n">
        <v>3500</v>
      </c>
      <c r="D7" s="13" t="n">
        <v>3746</v>
      </c>
      <c r="E7" s="13" t="n">
        <v>4439.4</v>
      </c>
      <c r="F7" s="13" t="n">
        <v>5261.2</v>
      </c>
      <c r="G7" s="13" t="n">
        <v>6235.1</v>
      </c>
    </row>
    <row r="8" customFormat="false" ht="15" hidden="false" customHeight="false" outlineLevel="0" collapsed="false">
      <c r="A8" s="8" t="s">
        <v>24</v>
      </c>
      <c r="B8" s="8" t="s">
        <v>25</v>
      </c>
      <c r="C8" s="14" t="s">
        <v>26</v>
      </c>
      <c r="D8" s="15" t="s">
        <v>26</v>
      </c>
      <c r="E8" s="15" t="s">
        <v>26</v>
      </c>
      <c r="F8" s="15" t="s">
        <v>26</v>
      </c>
      <c r="G8" s="15" t="s">
        <v>26</v>
      </c>
    </row>
    <row r="9" customFormat="false" ht="15" hidden="false" customHeight="false" outlineLevel="0" collapsed="false">
      <c r="A9" s="8" t="s">
        <v>27</v>
      </c>
      <c r="B9" s="8" t="s">
        <v>28</v>
      </c>
      <c r="C9" s="12" t="n">
        <v>6000</v>
      </c>
      <c r="D9" s="13" t="n">
        <v>6032.8</v>
      </c>
      <c r="E9" s="13" t="n">
        <v>6115.6</v>
      </c>
      <c r="F9" s="13" t="n">
        <v>6199.5</v>
      </c>
      <c r="G9" s="13" t="n">
        <v>6284.6</v>
      </c>
    </row>
    <row r="10" customFormat="false" ht="15" hidden="false" customHeight="false" outlineLevel="0" collapsed="false">
      <c r="A10" s="8" t="s">
        <v>29</v>
      </c>
      <c r="B10" s="8" t="s">
        <v>30</v>
      </c>
      <c r="C10" s="12" t="n">
        <v>300</v>
      </c>
      <c r="D10" s="13" t="n">
        <v>305.7</v>
      </c>
      <c r="E10" s="13" t="n">
        <v>320.3</v>
      </c>
      <c r="F10" s="13" t="n">
        <v>335.6</v>
      </c>
      <c r="G10" s="13" t="n">
        <v>351.7</v>
      </c>
    </row>
    <row r="12" customFormat="false" ht="15" hidden="false" customHeight="false" outlineLevel="0" collapsed="false">
      <c r="A12" s="16"/>
      <c r="B12" s="17" t="s">
        <v>31</v>
      </c>
      <c r="C12" s="18" t="n">
        <f aca="false">C6+C7+C9+C10</f>
        <v>10802.9</v>
      </c>
      <c r="D12" s="18" t="n">
        <f aca="false">D6+D7+D9+D10</f>
        <v>10859.3</v>
      </c>
      <c r="E12" s="18" t="n">
        <f aca="false">E6+E7+E9+E10</f>
        <v>10875.3</v>
      </c>
      <c r="F12" s="18" t="n">
        <f aca="false">F6+F7+F9+F10</f>
        <v>11796.3</v>
      </c>
      <c r="G12" s="18" t="n">
        <f aca="false">G6+G7+G9+G10</f>
        <v>12871.4</v>
      </c>
    </row>
    <row r="15" customFormat="false" ht="15" hidden="false" customHeight="false" outlineLevel="0" collapsed="false">
      <c r="A15" s="2" t="s">
        <v>32</v>
      </c>
    </row>
    <row r="16" customFormat="false" ht="27.75" hidden="false" customHeight="true" outlineLevel="0" collapsed="false">
      <c r="A16" s="19" t="s">
        <v>33</v>
      </c>
      <c r="B16" s="19"/>
      <c r="C16" s="19"/>
      <c r="D16" s="19"/>
      <c r="E16" s="19"/>
      <c r="F16" s="19"/>
      <c r="G16" s="19"/>
    </row>
    <row r="17" customFormat="false" ht="27.75" hidden="false" customHeight="true" outlineLevel="0" collapsed="false">
      <c r="A17" s="19" t="s">
        <v>34</v>
      </c>
      <c r="B17" s="19"/>
      <c r="C17" s="19"/>
      <c r="D17" s="19"/>
      <c r="E17" s="19"/>
      <c r="F17" s="19"/>
      <c r="G17" s="19"/>
    </row>
    <row r="18" customFormat="false" ht="27.75" hidden="false" customHeight="true" outlineLevel="0" collapsed="false">
      <c r="A18" s="19" t="s">
        <v>35</v>
      </c>
      <c r="B18" s="19"/>
      <c r="C18" s="19"/>
      <c r="D18" s="19"/>
      <c r="E18" s="19"/>
      <c r="F18" s="19"/>
      <c r="G18" s="19"/>
    </row>
  </sheetData>
  <mergeCells count="5">
    <mergeCell ref="A1:G1"/>
    <mergeCell ref="A2:G2"/>
    <mergeCell ref="A16:G16"/>
    <mergeCell ref="A17:G17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7" min="3" style="0" width="13"/>
    <col collapsed="false" customWidth="true" hidden="false" outlineLevel="0" max="8" min="8" style="0" width="3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4" t="s">
        <v>36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5" t="s">
        <v>14</v>
      </c>
      <c r="B2" s="5"/>
      <c r="C2" s="5"/>
      <c r="D2" s="5"/>
      <c r="E2" s="5"/>
      <c r="F2" s="5"/>
      <c r="G2" s="5"/>
    </row>
    <row r="4" customFormat="false" ht="26.85" hidden="false" customHeight="false" outlineLevel="0" collapsed="false">
      <c r="A4" s="6" t="s">
        <v>15</v>
      </c>
      <c r="B4" s="6" t="s">
        <v>16</v>
      </c>
      <c r="C4" s="7" t="s">
        <v>17</v>
      </c>
      <c r="D4" s="7" t="n">
        <v>2025</v>
      </c>
      <c r="E4" s="7" t="n">
        <v>2030</v>
      </c>
      <c r="F4" s="7" t="n">
        <v>2035</v>
      </c>
      <c r="G4" s="7" t="n">
        <v>2040</v>
      </c>
    </row>
    <row r="5" customFormat="false" ht="15" hidden="false" customHeight="false" outlineLevel="0" collapsed="false">
      <c r="A5" s="8" t="s">
        <v>18</v>
      </c>
      <c r="B5" s="9" t="s">
        <v>19</v>
      </c>
      <c r="C5" s="10"/>
      <c r="D5" s="11"/>
      <c r="E5" s="11"/>
      <c r="F5" s="11"/>
      <c r="G5" s="11"/>
    </row>
    <row r="6" customFormat="false" ht="15" hidden="false" customHeight="false" outlineLevel="0" collapsed="false">
      <c r="A6" s="8" t="s">
        <v>20</v>
      </c>
      <c r="B6" s="8" t="s">
        <v>21</v>
      </c>
      <c r="C6" s="12" t="n">
        <v>1002.9</v>
      </c>
      <c r="D6" s="13" t="n">
        <v>767.3</v>
      </c>
      <c r="E6" s="13" t="n">
        <v>0</v>
      </c>
      <c r="F6" s="13" t="n">
        <v>0</v>
      </c>
      <c r="G6" s="13" t="n">
        <v>0</v>
      </c>
    </row>
    <row r="7" customFormat="false" ht="15" hidden="false" customHeight="false" outlineLevel="0" collapsed="false">
      <c r="A7" s="8" t="s">
        <v>22</v>
      </c>
      <c r="B7" s="8" t="s">
        <v>23</v>
      </c>
      <c r="C7" s="12" t="n">
        <v>3500</v>
      </c>
      <c r="D7" s="13" t="n">
        <v>3633.4</v>
      </c>
      <c r="E7" s="13" t="n">
        <v>3989.5</v>
      </c>
      <c r="F7" s="13" t="n">
        <v>4380.5</v>
      </c>
      <c r="G7" s="13" t="n">
        <v>4809.8</v>
      </c>
    </row>
    <row r="8" customFormat="false" ht="15" hidden="false" customHeight="false" outlineLevel="0" collapsed="false">
      <c r="A8" s="8" t="s">
        <v>24</v>
      </c>
      <c r="B8" s="8" t="s">
        <v>25</v>
      </c>
      <c r="C8" s="14" t="s">
        <v>26</v>
      </c>
      <c r="D8" s="15" t="s">
        <v>26</v>
      </c>
      <c r="E8" s="15" t="s">
        <v>26</v>
      </c>
      <c r="F8" s="15" t="s">
        <v>26</v>
      </c>
      <c r="G8" s="15" t="s">
        <v>26</v>
      </c>
    </row>
    <row r="9" customFormat="false" ht="15" hidden="false" customHeight="false" outlineLevel="0" collapsed="false">
      <c r="A9" s="8" t="s">
        <v>27</v>
      </c>
      <c r="B9" s="8" t="s">
        <v>28</v>
      </c>
      <c r="C9" s="12" t="n">
        <v>6000</v>
      </c>
      <c r="D9" s="13" t="n">
        <v>5850.5</v>
      </c>
      <c r="E9" s="13" t="n">
        <v>5492.7</v>
      </c>
      <c r="F9" s="13" t="n">
        <v>5156.9</v>
      </c>
      <c r="G9" s="13" t="n">
        <v>4841.5</v>
      </c>
    </row>
    <row r="10" customFormat="false" ht="15" hidden="false" customHeight="false" outlineLevel="0" collapsed="false">
      <c r="A10" s="8" t="s">
        <v>29</v>
      </c>
      <c r="B10" s="8" t="s">
        <v>30</v>
      </c>
      <c r="C10" s="12" t="n">
        <v>300</v>
      </c>
      <c r="D10" s="13" t="n">
        <v>293.3</v>
      </c>
      <c r="E10" s="13" t="n">
        <v>277.3</v>
      </c>
      <c r="F10" s="13" t="n">
        <v>262.1</v>
      </c>
      <c r="G10" s="13" t="n">
        <v>247.7</v>
      </c>
    </row>
    <row r="12" customFormat="false" ht="15" hidden="false" customHeight="false" outlineLevel="0" collapsed="false">
      <c r="A12" s="16"/>
      <c r="B12" s="17" t="s">
        <v>31</v>
      </c>
      <c r="C12" s="18" t="n">
        <f aca="false">C6+C7+C9+C10</f>
        <v>10802.9</v>
      </c>
      <c r="D12" s="18" t="n">
        <f aca="false">D6+D7+D9+D10</f>
        <v>10544.5</v>
      </c>
      <c r="E12" s="18" t="n">
        <f aca="false">E6+E7+E9+E10</f>
        <v>9759.5</v>
      </c>
      <c r="F12" s="18" t="n">
        <f aca="false">F6+F7+F9+F10</f>
        <v>9799.5</v>
      </c>
      <c r="G12" s="18" t="n">
        <f aca="false">G6+G7+G9+G10</f>
        <v>9899</v>
      </c>
    </row>
    <row r="15" customFormat="false" ht="15" hidden="false" customHeight="false" outlineLevel="0" collapsed="false">
      <c r="A15" s="2" t="s">
        <v>32</v>
      </c>
    </row>
    <row r="16" customFormat="false" ht="27.75" hidden="false" customHeight="true" outlineLevel="0" collapsed="false">
      <c r="A16" s="19" t="s">
        <v>33</v>
      </c>
      <c r="B16" s="19"/>
      <c r="C16" s="19"/>
      <c r="D16" s="19"/>
      <c r="E16" s="19"/>
      <c r="F16" s="19"/>
      <c r="G16" s="19"/>
    </row>
    <row r="17" customFormat="false" ht="27.75" hidden="false" customHeight="true" outlineLevel="0" collapsed="false">
      <c r="A17" s="19" t="s">
        <v>34</v>
      </c>
      <c r="B17" s="19"/>
      <c r="C17" s="19"/>
      <c r="D17" s="19"/>
      <c r="E17" s="19"/>
      <c r="F17" s="19"/>
      <c r="G17" s="19"/>
    </row>
    <row r="18" customFormat="false" ht="27.75" hidden="false" customHeight="true" outlineLevel="0" collapsed="false">
      <c r="A18" s="19" t="s">
        <v>35</v>
      </c>
      <c r="B18" s="19"/>
      <c r="C18" s="19"/>
      <c r="D18" s="19"/>
      <c r="E18" s="19"/>
      <c r="F18" s="19"/>
      <c r="G18" s="19"/>
    </row>
  </sheetData>
  <mergeCells count="5">
    <mergeCell ref="A1:G1"/>
    <mergeCell ref="A2:G2"/>
    <mergeCell ref="A16:G16"/>
    <mergeCell ref="A17:G17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7" min="3" style="0" width="13"/>
    <col collapsed="false" customWidth="true" hidden="false" outlineLevel="0" max="8" min="8" style="0" width="3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4" t="s">
        <v>37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5" t="s">
        <v>14</v>
      </c>
      <c r="B2" s="5"/>
      <c r="C2" s="5"/>
      <c r="D2" s="5"/>
      <c r="E2" s="5"/>
      <c r="F2" s="5"/>
      <c r="G2" s="5"/>
    </row>
    <row r="4" customFormat="false" ht="26.85" hidden="false" customHeight="false" outlineLevel="0" collapsed="false">
      <c r="A4" s="6" t="s">
        <v>15</v>
      </c>
      <c r="B4" s="6" t="s">
        <v>16</v>
      </c>
      <c r="C4" s="7" t="s">
        <v>17</v>
      </c>
      <c r="D4" s="7" t="n">
        <v>2025</v>
      </c>
      <c r="E4" s="7" t="n">
        <v>2030</v>
      </c>
      <c r="F4" s="7" t="n">
        <v>2035</v>
      </c>
      <c r="G4" s="7" t="n">
        <v>2040</v>
      </c>
    </row>
    <row r="5" customFormat="false" ht="15" hidden="false" customHeight="false" outlineLevel="0" collapsed="false">
      <c r="A5" s="8" t="s">
        <v>18</v>
      </c>
      <c r="B5" s="9" t="s">
        <v>19</v>
      </c>
      <c r="C5" s="10"/>
      <c r="D5" s="11"/>
      <c r="E5" s="11"/>
      <c r="F5" s="11"/>
      <c r="G5" s="11"/>
    </row>
    <row r="6" customFormat="false" ht="15" hidden="false" customHeight="false" outlineLevel="0" collapsed="false">
      <c r="A6" s="8" t="s">
        <v>20</v>
      </c>
      <c r="B6" s="8" t="s">
        <v>21</v>
      </c>
      <c r="C6" s="12" t="n">
        <v>1002.9</v>
      </c>
      <c r="D6" s="13" t="n">
        <v>1084.7</v>
      </c>
      <c r="E6" s="13" t="n">
        <v>1319.7</v>
      </c>
      <c r="F6" s="13" t="n">
        <v>1605.6</v>
      </c>
      <c r="G6" s="13" t="n">
        <v>1953.5</v>
      </c>
    </row>
    <row r="7" customFormat="false" ht="15" hidden="false" customHeight="false" outlineLevel="0" collapsed="false">
      <c r="A7" s="8" t="s">
        <v>22</v>
      </c>
      <c r="B7" s="8" t="s">
        <v>23</v>
      </c>
      <c r="C7" s="12" t="n">
        <v>3500</v>
      </c>
      <c r="D7" s="13" t="n">
        <v>3822.1</v>
      </c>
      <c r="E7" s="13" t="n">
        <v>4763</v>
      </c>
      <c r="F7" s="13" t="n">
        <v>5935.6</v>
      </c>
      <c r="G7" s="13" t="n">
        <v>7396.8</v>
      </c>
    </row>
    <row r="8" customFormat="false" ht="15" hidden="false" customHeight="false" outlineLevel="0" collapsed="false">
      <c r="A8" s="8" t="s">
        <v>24</v>
      </c>
      <c r="B8" s="8" t="s">
        <v>25</v>
      </c>
      <c r="C8" s="14" t="s">
        <v>26</v>
      </c>
      <c r="D8" s="15" t="s">
        <v>26</v>
      </c>
      <c r="E8" s="15" t="s">
        <v>26</v>
      </c>
      <c r="F8" s="15" t="s">
        <v>26</v>
      </c>
      <c r="G8" s="15" t="s">
        <v>26</v>
      </c>
    </row>
    <row r="9" customFormat="false" ht="15" hidden="false" customHeight="false" outlineLevel="0" collapsed="false">
      <c r="A9" s="8" t="s">
        <v>27</v>
      </c>
      <c r="B9" s="8" t="s">
        <v>28</v>
      </c>
      <c r="C9" s="12" t="n">
        <v>6000</v>
      </c>
      <c r="D9" s="13" t="n">
        <v>6217.9</v>
      </c>
      <c r="E9" s="13" t="n">
        <v>6798.1</v>
      </c>
      <c r="F9" s="13" t="n">
        <v>7432.3</v>
      </c>
      <c r="G9" s="13" t="n">
        <v>8125.8</v>
      </c>
    </row>
    <row r="10" customFormat="false" ht="15" hidden="false" customHeight="false" outlineLevel="0" collapsed="false">
      <c r="A10" s="8" t="s">
        <v>29</v>
      </c>
      <c r="B10" s="8" t="s">
        <v>30</v>
      </c>
      <c r="C10" s="12" t="n">
        <v>300</v>
      </c>
      <c r="D10" s="13" t="n">
        <v>318.3</v>
      </c>
      <c r="E10" s="13" t="n">
        <v>369</v>
      </c>
      <c r="F10" s="13" t="n">
        <v>427.7</v>
      </c>
      <c r="G10" s="13" t="n">
        <v>495.9</v>
      </c>
    </row>
    <row r="12" customFormat="false" ht="15" hidden="false" customHeight="false" outlineLevel="0" collapsed="false">
      <c r="A12" s="16"/>
      <c r="B12" s="17" t="s">
        <v>31</v>
      </c>
      <c r="C12" s="18" t="n">
        <f aca="false">C6+C7+C9+C10</f>
        <v>10802.9</v>
      </c>
      <c r="D12" s="18" t="n">
        <f aca="false">D6+D7+D9+D10</f>
        <v>11443</v>
      </c>
      <c r="E12" s="18" t="n">
        <f aca="false">E6+E7+E9+E10</f>
        <v>13249.8</v>
      </c>
      <c r="F12" s="18" t="n">
        <f aca="false">F6+F7+F9+F10</f>
        <v>15401.2</v>
      </c>
      <c r="G12" s="18" t="n">
        <f aca="false">G6+G7+G9+G10</f>
        <v>17972</v>
      </c>
    </row>
    <row r="15" customFormat="false" ht="15" hidden="false" customHeight="false" outlineLevel="0" collapsed="false">
      <c r="A15" s="2" t="s">
        <v>32</v>
      </c>
    </row>
    <row r="16" customFormat="false" ht="27.75" hidden="false" customHeight="true" outlineLevel="0" collapsed="false">
      <c r="A16" s="19" t="s">
        <v>33</v>
      </c>
      <c r="B16" s="19"/>
      <c r="C16" s="19"/>
      <c r="D16" s="19"/>
      <c r="E16" s="19"/>
      <c r="F16" s="19"/>
      <c r="G16" s="19"/>
    </row>
    <row r="17" customFormat="false" ht="27.75" hidden="false" customHeight="true" outlineLevel="0" collapsed="false">
      <c r="A17" s="19" t="s">
        <v>34</v>
      </c>
      <c r="B17" s="19"/>
      <c r="C17" s="19"/>
      <c r="D17" s="19"/>
      <c r="E17" s="19"/>
      <c r="F17" s="19"/>
      <c r="G17" s="19"/>
    </row>
    <row r="18" customFormat="false" ht="27.75" hidden="false" customHeight="true" outlineLevel="0" collapsed="false">
      <c r="A18" s="19" t="s">
        <v>35</v>
      </c>
      <c r="B18" s="19"/>
      <c r="C18" s="19"/>
      <c r="D18" s="19"/>
      <c r="E18" s="19"/>
      <c r="F18" s="19"/>
      <c r="G18" s="19"/>
    </row>
  </sheetData>
  <mergeCells count="5">
    <mergeCell ref="A1:G1"/>
    <mergeCell ref="A2:G2"/>
    <mergeCell ref="A16:G16"/>
    <mergeCell ref="A17:G17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  <col collapsed="false" customWidth="true" hidden="false" outlineLevel="0" max="7" min="7" style="0" width="3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4" t="s">
        <v>38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5" t="s">
        <v>39</v>
      </c>
      <c r="B2" s="5"/>
      <c r="C2" s="5"/>
      <c r="D2" s="5"/>
      <c r="E2" s="5"/>
      <c r="F2" s="5"/>
      <c r="G2" s="5"/>
    </row>
    <row r="4" customFormat="false" ht="15" hidden="false" customHeight="false" outlineLevel="0" collapsed="false">
      <c r="A4" s="20" t="s">
        <v>40</v>
      </c>
      <c r="B4" s="21" t="n">
        <v>2023</v>
      </c>
      <c r="C4" s="21" t="n">
        <v>2025</v>
      </c>
      <c r="D4" s="21" t="n">
        <v>2030</v>
      </c>
      <c r="E4" s="21" t="n">
        <v>2035</v>
      </c>
      <c r="F4" s="21" t="n">
        <v>2040</v>
      </c>
      <c r="H4" s="20" t="s">
        <v>41</v>
      </c>
    </row>
    <row r="5" customFormat="false" ht="15" hidden="false" customHeight="false" outlineLevel="0" collapsed="false">
      <c r="A5" s="22" t="s">
        <v>42</v>
      </c>
      <c r="B5" s="23" t="n">
        <v>55.3</v>
      </c>
      <c r="C5" s="23" t="n">
        <v>57.3</v>
      </c>
      <c r="D5" s="23" t="n">
        <v>62.7</v>
      </c>
      <c r="E5" s="23" t="n">
        <v>68.5</v>
      </c>
      <c r="F5" s="23" t="n">
        <v>74.9</v>
      </c>
      <c r="H5" s="24" t="s">
        <v>43</v>
      </c>
    </row>
    <row r="6" customFormat="false" ht="22.35" hidden="false" customHeight="false" outlineLevel="0" collapsed="false">
      <c r="A6" s="22" t="s">
        <v>44</v>
      </c>
      <c r="B6" s="23" t="n">
        <v>104</v>
      </c>
      <c r="C6" s="23" t="n">
        <v>114.7</v>
      </c>
      <c r="D6" s="23" t="n">
        <v>146.3</v>
      </c>
      <c r="E6" s="23" t="n">
        <v>186.8</v>
      </c>
      <c r="F6" s="23" t="n">
        <v>238.4</v>
      </c>
      <c r="H6" s="24" t="s">
        <v>45</v>
      </c>
    </row>
    <row r="7" customFormat="false" ht="15" hidden="false" customHeight="false" outlineLevel="0" collapsed="false">
      <c r="A7" s="22" t="s">
        <v>46</v>
      </c>
      <c r="B7" s="23" t="n">
        <v>0.8</v>
      </c>
      <c r="C7" s="23" t="n">
        <v>0.8</v>
      </c>
      <c r="D7" s="23" t="n">
        <v>0.8</v>
      </c>
      <c r="E7" s="23" t="n">
        <v>0.8</v>
      </c>
      <c r="F7" s="23" t="n">
        <v>0.8</v>
      </c>
      <c r="H7" s="24" t="s">
        <v>47</v>
      </c>
    </row>
    <row r="8" customFormat="false" ht="15" hidden="false" customHeight="false" outlineLevel="0" collapsed="false">
      <c r="A8" s="22" t="s">
        <v>48</v>
      </c>
      <c r="B8" s="23" t="n">
        <v>0.7</v>
      </c>
      <c r="C8" s="23" t="n">
        <v>0.7</v>
      </c>
      <c r="D8" s="23" t="n">
        <v>0.7</v>
      </c>
      <c r="E8" s="23" t="n">
        <v>0.7</v>
      </c>
      <c r="F8" s="23" t="n">
        <v>0.7</v>
      </c>
      <c r="H8" s="24" t="s">
        <v>49</v>
      </c>
    </row>
    <row r="9" customFormat="false" ht="22.35" hidden="false" customHeight="false" outlineLevel="0" collapsed="false">
      <c r="A9" s="22" t="s">
        <v>50</v>
      </c>
      <c r="B9" s="23"/>
      <c r="C9" s="23"/>
      <c r="D9" s="23" t="n">
        <v>0</v>
      </c>
      <c r="E9" s="23" t="n">
        <v>0</v>
      </c>
      <c r="F9" s="23" t="n">
        <v>0</v>
      </c>
      <c r="H9" s="24" t="s">
        <v>51</v>
      </c>
    </row>
    <row r="11" customFormat="false" ht="19.5" hidden="false" customHeight="true" outlineLevel="0" collapsed="false">
      <c r="A11" s="5" t="s">
        <v>52</v>
      </c>
      <c r="B11" s="5"/>
      <c r="C11" s="5"/>
      <c r="D11" s="5"/>
      <c r="E11" s="5"/>
      <c r="F11" s="5"/>
      <c r="G11" s="5"/>
    </row>
  </sheetData>
  <mergeCells count="3">
    <mergeCell ref="A1:G1"/>
    <mergeCell ref="A2:G2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2026-07-25T16:17:24Z</dcterms:created>
  <dc:creator>openpyxl</dc:creator>
  <dc:description/>
  <dc:language>en-US</dc:language>
  <cp:lastModifiedBy/>
  <dcterms:modified xsi:type="dcterms:W3CDTF">2026-07-25T16:17:24Z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